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"/>
    </mc:Choice>
  </mc:AlternateContent>
  <bookViews>
    <workbookView xWindow="0" yWindow="0" windowWidth="28020" windowHeight="12960"/>
  </bookViews>
  <sheets>
    <sheet name="sony外貨定期預金" sheetId="1" r:id="rId1"/>
  </sheets>
  <definedNames>
    <definedName name="j_tax">#REF!</definedName>
    <definedName name="N">#REF!</definedName>
    <definedName name="p">#REF!</definedName>
    <definedName name="rj">#REF!</definedName>
    <definedName name="ru">#REF!</definedName>
    <definedName name="S0">#REF!</definedName>
    <definedName name="S1_">#REF!</definedName>
    <definedName name="Year">#REF!</definedName>
  </definedNames>
  <calcPr calcId="152511"/>
</workbook>
</file>

<file path=xl/calcChain.xml><?xml version="1.0" encoding="utf-8"?>
<calcChain xmlns="http://schemas.openxmlformats.org/spreadsheetml/2006/main">
  <c r="T6" i="1" l="1"/>
  <c r="T5" i="1"/>
  <c r="N6" i="1" l="1"/>
  <c r="S6" i="1" s="1"/>
  <c r="U6" i="1" l="1"/>
  <c r="N5" i="1"/>
  <c r="S5" i="1" s="1"/>
  <c r="U5" i="1" l="1"/>
  <c r="R3" i="1" l="1"/>
</calcChain>
</file>

<file path=xl/sharedStrings.xml><?xml version="1.0" encoding="utf-8"?>
<sst xmlns="http://schemas.openxmlformats.org/spreadsheetml/2006/main" count="34" uniqueCount="29">
  <si>
    <t>商品名</t>
  </si>
  <si>
    <t>契約番号</t>
  </si>
  <si>
    <t>お預かり日</t>
  </si>
  <si>
    <t>お預け入れ金額通貨</t>
  </si>
  <si>
    <t>お預け入れ金額</t>
  </si>
  <si>
    <t>満期日</t>
  </si>
  <si>
    <t>評価額</t>
  </si>
  <si>
    <t>満期のお取り扱い</t>
  </si>
  <si>
    <t>為替予約済み金額</t>
  </si>
  <si>
    <t>マイル付き外貨定期預金（USD）</t>
  </si>
  <si>
    <t>USD</t>
  </si>
  <si>
    <t>自動解約（外貨普通預金（米ドル）に入金）</t>
  </si>
  <si>
    <t>0円</t>
  </si>
  <si>
    <t>外貨定期預金（米ドル）</t>
  </si>
  <si>
    <t>購入(円)</t>
    <rPh sb="0" eb="2">
      <t>コウニュウ</t>
    </rPh>
    <rPh sb="3" eb="4">
      <t>エン</t>
    </rPh>
    <phoneticPr fontId="18"/>
  </si>
  <si>
    <t>購入時適用レート</t>
    <rPh sb="0" eb="3">
      <t>コウニュウジ</t>
    </rPh>
    <rPh sb="3" eb="5">
      <t>テキヨウ</t>
    </rPh>
    <phoneticPr fontId="18"/>
  </si>
  <si>
    <t>マイル</t>
    <phoneticPr fontId="18"/>
  </si>
  <si>
    <t>約定金利</t>
    <phoneticPr fontId="18"/>
  </si>
  <si>
    <t>At maturity</t>
    <phoneticPr fontId="18"/>
  </si>
  <si>
    <t>円から始める1M定期</t>
    <rPh sb="0" eb="1">
      <t>エン</t>
    </rPh>
    <rPh sb="3" eb="4">
      <t>ハジ</t>
    </rPh>
    <rPh sb="8" eb="10">
      <t>テイキ</t>
    </rPh>
    <phoneticPr fontId="18"/>
  </si>
  <si>
    <t>miles/100USD</t>
    <phoneticPr fontId="18"/>
  </si>
  <si>
    <t>為替予約レート</t>
    <rPh sb="0" eb="4">
      <t>カワセヨヤク</t>
    </rPh>
    <phoneticPr fontId="18"/>
  </si>
  <si>
    <t>自動解約(円普通預金に入金)(為替予約)</t>
    <rPh sb="15" eb="17">
      <t>カワセ</t>
    </rPh>
    <rPh sb="17" eb="19">
      <t>ヨヤク</t>
    </rPh>
    <phoneticPr fontId="18"/>
  </si>
  <si>
    <t>spread(per 1m)</t>
    <phoneticPr fontId="18"/>
  </si>
  <si>
    <t>円利息(税引後)</t>
    <rPh sb="0" eb="3">
      <t>エンリソク</t>
    </rPh>
    <rPh sb="4" eb="6">
      <t>ゼイビ</t>
    </rPh>
    <rPh sb="6" eb="7">
      <t>ゴ</t>
    </rPh>
    <phoneticPr fontId="18"/>
  </si>
  <si>
    <t>年利回り(after tax)</t>
    <phoneticPr fontId="18"/>
  </si>
  <si>
    <t>Period(Y)</t>
  </si>
  <si>
    <t>円預金利息(税引前)</t>
    <rPh sb="0" eb="1">
      <t>エン</t>
    </rPh>
    <rPh sb="1" eb="3">
      <t>ヨキン</t>
    </rPh>
    <rPh sb="3" eb="5">
      <t>リソク</t>
    </rPh>
    <rPh sb="6" eb="9">
      <t>ゼイビキマエ</t>
    </rPh>
    <phoneticPr fontId="18"/>
  </si>
  <si>
    <t>為替予約による損失</t>
    <rPh sb="0" eb="4">
      <t>カワセヨヤク</t>
    </rPh>
    <rPh sb="7" eb="9">
      <t>ソンシツ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</si>
</sst>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¥&quot;#,##0;&quot;¥&quot;\-#,##0"/>
    <numFmt numFmtId="7" formatCode="&quot;¥&quot;#,##0.00;&quot;¥&quot;\-#,##0.00"/>
    <numFmt numFmtId="26" formatCode="\$#,##0.00_);[Red]\(\$#,##0.00\)"/>
    <numFmt numFmtId="176" formatCode="0.000%"/>
    <numFmt numFmtId="177" formatCode="0.0_ "/>
    <numFmt numFmtId="178" formatCode="#,##0_ "/>
    <numFmt numFmtId="179" formatCode="0.000_);[Red]\(0.000\)"/>
  </numFmts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3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  <xf numFmtId="5" fontId="0" fillId="33" borderId="0" xfId="0" applyNumberFormat="1" applyFill="1">
      <alignment vertical="center"/>
    </xf>
    <xf numFmtId="7" fontId="0" fillId="0" borderId="0" xfId="0" applyNumberFormat="1">
      <alignment vertical="center"/>
    </xf>
    <xf numFmtId="26" fontId="0" fillId="0" borderId="0" xfId="0" applyNumberFormat="1">
      <alignment vertical="center"/>
    </xf>
    <xf numFmtId="176" fontId="0" fillId="0" borderId="0" xfId="0" applyNumberFormat="1">
      <alignment vertical="center"/>
    </xf>
    <xf numFmtId="5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7" fontId="0" fillId="34" borderId="0" xfId="0" applyNumberFormat="1" applyFill="1">
      <alignment vertical="center"/>
    </xf>
    <xf numFmtId="5" fontId="0" fillId="34" borderId="0" xfId="0" applyNumberFormat="1" applyFill="1">
      <alignment vertical="center"/>
    </xf>
    <xf numFmtId="10" fontId="0" fillId="0" borderId="0" xfId="0" applyNumberFormat="1">
      <alignment vertical="center"/>
    </xf>
    <xf numFmtId="0" fontId="0" fillId="35" borderId="0" xfId="0" applyFill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A133"/>
  <sheetViews>
    <sheetView tabSelected="1" zoomScaleNormal="100" workbookViewId="0">
      <pane ySplit="1" topLeftCell="A2" activePane="bottomLeft" state="frozen"/>
      <selection pane="bottomLeft" activeCell="A6" sqref="A6"/>
    </sheetView>
  </sheetViews>
  <sheetFormatPr defaultRowHeight="12.75" x14ac:dyDescent="0.25"/>
  <cols>
    <col min="1" max="1" width="28.86328125" bestFit="1" customWidth="1"/>
    <col min="4" max="4" width="15.265625" bestFit="1" customWidth="1"/>
    <col min="5" max="5" width="19" bestFit="1" customWidth="1"/>
    <col min="6" max="6" width="14.86328125" bestFit="1" customWidth="1"/>
    <col min="7" max="7" width="15.265625" bestFit="1" customWidth="1"/>
    <col min="8" max="8" width="11.265625" bestFit="1" customWidth="1"/>
    <col min="9" max="9" width="41.59765625" bestFit="1" customWidth="1"/>
    <col min="10" max="10" width="14.1328125" bestFit="1" customWidth="1"/>
    <col min="11" max="11" width="17.265625" bestFit="1" customWidth="1"/>
    <col min="13" max="13" width="14.59765625" customWidth="1"/>
    <col min="15" max="15" width="11.73046875" bestFit="1" customWidth="1"/>
    <col min="16" max="16" width="12.73046875" customWidth="1"/>
    <col min="19" max="19" width="10" bestFit="1" customWidth="1"/>
    <col min="20" max="20" width="10.59765625" customWidth="1"/>
    <col min="21" max="21" width="11.59765625" bestFit="1" customWidth="1"/>
    <col min="22" max="22" width="4.265625" customWidth="1"/>
    <col min="24" max="24" width="11.1328125" customWidth="1"/>
  </cols>
  <sheetData>
    <row r="1" spans="1:27" x14ac:dyDescent="0.25">
      <c r="A1" t="s">
        <v>0</v>
      </c>
      <c r="B1" t="s">
        <v>17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21</v>
      </c>
      <c r="K1" t="s">
        <v>8</v>
      </c>
      <c r="M1" s="3" t="s">
        <v>14</v>
      </c>
      <c r="N1" t="s">
        <v>15</v>
      </c>
      <c r="O1" t="s">
        <v>16</v>
      </c>
      <c r="P1" t="s">
        <v>18</v>
      </c>
      <c r="R1" t="s">
        <v>20</v>
      </c>
      <c r="S1" t="s">
        <v>23</v>
      </c>
      <c r="T1" t="s">
        <v>24</v>
      </c>
      <c r="U1" t="s">
        <v>25</v>
      </c>
      <c r="V1" s="15"/>
      <c r="W1" t="s">
        <v>26</v>
      </c>
      <c r="X1" t="s">
        <v>27</v>
      </c>
      <c r="Y1" t="s">
        <v>28</v>
      </c>
    </row>
    <row r="2" spans="1:27" x14ac:dyDescent="0.25">
      <c r="F2" s="6"/>
      <c r="V2" s="15"/>
    </row>
    <row r="3" spans="1:27" x14ac:dyDescent="0.25">
      <c r="A3" t="s">
        <v>9</v>
      </c>
      <c r="B3" s="7">
        <v>4.0000000000000002E-4</v>
      </c>
      <c r="C3">
        <v>16</v>
      </c>
      <c r="D3" s="1">
        <v>45390</v>
      </c>
      <c r="E3" t="s">
        <v>10</v>
      </c>
      <c r="F3" s="6">
        <v>7500</v>
      </c>
      <c r="G3" s="1">
        <v>45755</v>
      </c>
      <c r="H3" s="2"/>
      <c r="I3" t="s">
        <v>11</v>
      </c>
      <c r="K3" t="s">
        <v>12</v>
      </c>
      <c r="N3" s="5">
        <v>131.69</v>
      </c>
      <c r="O3" s="10">
        <v>25875</v>
      </c>
      <c r="P3" s="6"/>
      <c r="R3" s="9">
        <f>O3/F3*100</f>
        <v>345</v>
      </c>
      <c r="V3" s="15"/>
    </row>
    <row r="4" spans="1:27" x14ac:dyDescent="0.25">
      <c r="B4" s="7"/>
      <c r="F4" s="6"/>
      <c r="N4" s="5"/>
      <c r="V4" s="15"/>
    </row>
    <row r="5" spans="1:27" x14ac:dyDescent="0.25">
      <c r="A5" t="s">
        <v>13</v>
      </c>
      <c r="B5" s="7">
        <v>0.1003</v>
      </c>
      <c r="C5">
        <v>42</v>
      </c>
      <c r="D5" s="1">
        <v>45637</v>
      </c>
      <c r="E5" t="s">
        <v>10</v>
      </c>
      <c r="F5" s="6">
        <v>13182.17</v>
      </c>
      <c r="G5" s="1">
        <v>45668</v>
      </c>
      <c r="H5" s="8">
        <v>2003224</v>
      </c>
      <c r="I5" t="s">
        <v>22</v>
      </c>
      <c r="J5">
        <v>150.94</v>
      </c>
      <c r="M5" s="4">
        <v>2000000</v>
      </c>
      <c r="N5" s="12">
        <f t="shared" ref="N5:N6" si="0">M5/F5</f>
        <v>151.72008857418771</v>
      </c>
      <c r="O5" t="s">
        <v>19</v>
      </c>
      <c r="P5" s="6">
        <v>13271.66</v>
      </c>
      <c r="S5" s="11">
        <f t="shared" ref="S5:S6" si="1">N5-J5</f>
        <v>0.78008857418771527</v>
      </c>
      <c r="T5" s="13">
        <f t="shared" ref="T5:T6" si="2">H5-M5</f>
        <v>3224</v>
      </c>
      <c r="U5" s="14">
        <f t="shared" ref="U5:U6" si="3">365/(G5-D5)*(J5/N5*(1+B5*(1-0.20315)*(G5-D5)/365)-1)</f>
        <v>1.8974567121484136E-2</v>
      </c>
      <c r="V5" s="15"/>
      <c r="AA5" s="6"/>
    </row>
    <row r="6" spans="1:27" x14ac:dyDescent="0.25">
      <c r="A6" t="s">
        <v>13</v>
      </c>
      <c r="B6" s="7">
        <v>0.1003</v>
      </c>
      <c r="C6">
        <v>43</v>
      </c>
      <c r="D6" s="1">
        <v>45644</v>
      </c>
      <c r="E6" t="s">
        <v>10</v>
      </c>
      <c r="F6" s="6">
        <v>22777.56</v>
      </c>
      <c r="G6" s="1">
        <v>45675</v>
      </c>
      <c r="H6" s="8">
        <v>3506788</v>
      </c>
      <c r="I6" t="s">
        <v>22</v>
      </c>
      <c r="J6">
        <v>152.91999999999999</v>
      </c>
      <c r="M6" s="4">
        <v>3500000</v>
      </c>
      <c r="N6" s="12">
        <f t="shared" si="0"/>
        <v>153.66000572493277</v>
      </c>
      <c r="O6" t="s">
        <v>19</v>
      </c>
      <c r="P6" s="6">
        <v>22932.18</v>
      </c>
      <c r="S6" s="11">
        <f t="shared" si="1"/>
        <v>0.74000572493278582</v>
      </c>
      <c r="T6" s="13">
        <f t="shared" si="2"/>
        <v>6788</v>
      </c>
      <c r="U6" s="14">
        <f t="shared" si="3"/>
        <v>2.2836234072567765E-2</v>
      </c>
      <c r="V6" s="15"/>
      <c r="AA6" s="6"/>
    </row>
    <row r="7" spans="1:27" x14ac:dyDescent="0.25">
      <c r="V7" s="15"/>
    </row>
    <row r="8" spans="1:27" x14ac:dyDescent="0.25">
      <c r="V8" s="15"/>
    </row>
    <row r="9" spans="1:27" x14ac:dyDescent="0.25">
      <c r="V9" s="15"/>
    </row>
    <row r="10" spans="1:27" x14ac:dyDescent="0.25">
      <c r="V10" s="15"/>
    </row>
    <row r="11" spans="1:27" x14ac:dyDescent="0.25">
      <c r="V11" s="15"/>
    </row>
    <row r="12" spans="1:27" x14ac:dyDescent="0.25">
      <c r="V12" s="15"/>
    </row>
    <row r="13" spans="1:27" x14ac:dyDescent="0.25">
      <c r="V13" s="15"/>
    </row>
    <row r="14" spans="1:27" x14ac:dyDescent="0.25">
      <c r="V14" s="15"/>
    </row>
    <row r="15" spans="1:27" x14ac:dyDescent="0.25">
      <c r="V15" s="15"/>
    </row>
    <row r="16" spans="1:27" x14ac:dyDescent="0.25">
      <c r="V16" s="15"/>
    </row>
    <row r="17" spans="22:22" x14ac:dyDescent="0.25">
      <c r="V17" s="15"/>
    </row>
    <row r="18" spans="22:22" x14ac:dyDescent="0.25">
      <c r="V18" s="15"/>
    </row>
    <row r="19" spans="22:22" x14ac:dyDescent="0.25">
      <c r="V19" s="15"/>
    </row>
    <row r="20" spans="22:22" x14ac:dyDescent="0.25">
      <c r="V20" s="15"/>
    </row>
    <row r="21" spans="22:22" x14ac:dyDescent="0.25">
      <c r="V21" s="15"/>
    </row>
    <row r="22" spans="22:22" x14ac:dyDescent="0.25">
      <c r="V22" s="15"/>
    </row>
    <row r="23" spans="22:22" x14ac:dyDescent="0.25">
      <c r="V23" s="15"/>
    </row>
    <row r="24" spans="22:22" x14ac:dyDescent="0.25">
      <c r="V24" s="15"/>
    </row>
    <row r="25" spans="22:22" x14ac:dyDescent="0.25">
      <c r="V25" s="15"/>
    </row>
    <row r="26" spans="22:22" x14ac:dyDescent="0.25">
      <c r="V26" s="15"/>
    </row>
    <row r="27" spans="22:22" x14ac:dyDescent="0.25">
      <c r="V27" s="15"/>
    </row>
    <row r="28" spans="22:22" x14ac:dyDescent="0.25">
      <c r="V28" s="15"/>
    </row>
    <row r="29" spans="22:22" x14ac:dyDescent="0.25">
      <c r="V29" s="15"/>
    </row>
    <row r="30" spans="22:22" x14ac:dyDescent="0.25">
      <c r="V30" s="15"/>
    </row>
    <row r="31" spans="22:22" x14ac:dyDescent="0.25">
      <c r="V31" s="15"/>
    </row>
    <row r="32" spans="22:22" x14ac:dyDescent="0.25">
      <c r="V32" s="15"/>
    </row>
    <row r="33" spans="22:22" x14ac:dyDescent="0.25">
      <c r="V33" s="15"/>
    </row>
    <row r="34" spans="22:22" x14ac:dyDescent="0.25">
      <c r="V34" s="15"/>
    </row>
    <row r="35" spans="22:22" x14ac:dyDescent="0.25">
      <c r="V35" s="15"/>
    </row>
    <row r="36" spans="22:22" x14ac:dyDescent="0.25">
      <c r="V36" s="15"/>
    </row>
    <row r="37" spans="22:22" x14ac:dyDescent="0.25">
      <c r="V37" s="15"/>
    </row>
    <row r="38" spans="22:22" x14ac:dyDescent="0.25">
      <c r="V38" s="15"/>
    </row>
    <row r="39" spans="22:22" x14ac:dyDescent="0.25">
      <c r="V39" s="15"/>
    </row>
    <row r="40" spans="22:22" x14ac:dyDescent="0.25">
      <c r="V40" s="15"/>
    </row>
    <row r="41" spans="22:22" x14ac:dyDescent="0.25">
      <c r="V41" s="15"/>
    </row>
    <row r="42" spans="22:22" x14ac:dyDescent="0.25">
      <c r="V42" s="15"/>
    </row>
    <row r="43" spans="22:22" x14ac:dyDescent="0.25">
      <c r="V43" s="15"/>
    </row>
    <row r="44" spans="22:22" x14ac:dyDescent="0.25">
      <c r="V44" s="15"/>
    </row>
    <row r="45" spans="22:22" x14ac:dyDescent="0.25">
      <c r="V45" s="15"/>
    </row>
    <row r="46" spans="22:22" x14ac:dyDescent="0.25">
      <c r="V46" s="15"/>
    </row>
    <row r="47" spans="22:22" x14ac:dyDescent="0.25">
      <c r="V47" s="15"/>
    </row>
    <row r="48" spans="22:22" x14ac:dyDescent="0.25">
      <c r="V48" s="15"/>
    </row>
    <row r="49" spans="22:22" x14ac:dyDescent="0.25">
      <c r="V49" s="15"/>
    </row>
    <row r="50" spans="22:22" x14ac:dyDescent="0.25">
      <c r="V50" s="15"/>
    </row>
    <row r="51" spans="22:22" x14ac:dyDescent="0.25">
      <c r="V51" s="15"/>
    </row>
    <row r="52" spans="22:22" x14ac:dyDescent="0.25">
      <c r="V52" s="15"/>
    </row>
    <row r="53" spans="22:22" x14ac:dyDescent="0.25">
      <c r="V53" s="15"/>
    </row>
    <row r="54" spans="22:22" x14ac:dyDescent="0.25">
      <c r="V54" s="15"/>
    </row>
    <row r="55" spans="22:22" x14ac:dyDescent="0.25">
      <c r="V55" s="15"/>
    </row>
    <row r="56" spans="22:22" x14ac:dyDescent="0.25">
      <c r="V56" s="15"/>
    </row>
    <row r="57" spans="22:22" x14ac:dyDescent="0.25">
      <c r="V57" s="15"/>
    </row>
    <row r="58" spans="22:22" x14ac:dyDescent="0.25">
      <c r="V58" s="15"/>
    </row>
    <row r="59" spans="22:22" x14ac:dyDescent="0.25">
      <c r="V59" s="15"/>
    </row>
    <row r="60" spans="22:22" x14ac:dyDescent="0.25">
      <c r="V60" s="15"/>
    </row>
    <row r="61" spans="22:22" x14ac:dyDescent="0.25">
      <c r="V61" s="15"/>
    </row>
    <row r="62" spans="22:22" x14ac:dyDescent="0.25">
      <c r="V62" s="15"/>
    </row>
    <row r="63" spans="22:22" x14ac:dyDescent="0.25">
      <c r="V63" s="15"/>
    </row>
    <row r="64" spans="22:22" x14ac:dyDescent="0.25">
      <c r="V64" s="15"/>
    </row>
    <row r="65" spans="22:22" x14ac:dyDescent="0.25">
      <c r="V65" s="15"/>
    </row>
    <row r="66" spans="22:22" x14ac:dyDescent="0.25">
      <c r="V66" s="15"/>
    </row>
    <row r="67" spans="22:22" x14ac:dyDescent="0.25">
      <c r="V67" s="15"/>
    </row>
    <row r="68" spans="22:22" x14ac:dyDescent="0.25">
      <c r="V68" s="15"/>
    </row>
    <row r="69" spans="22:22" x14ac:dyDescent="0.25">
      <c r="V69" s="15"/>
    </row>
    <row r="70" spans="22:22" x14ac:dyDescent="0.25">
      <c r="V70" s="15"/>
    </row>
    <row r="71" spans="22:22" x14ac:dyDescent="0.25">
      <c r="V71" s="15"/>
    </row>
    <row r="72" spans="22:22" x14ac:dyDescent="0.25">
      <c r="V72" s="15"/>
    </row>
    <row r="73" spans="22:22" x14ac:dyDescent="0.25">
      <c r="V73" s="15"/>
    </row>
    <row r="74" spans="22:22" x14ac:dyDescent="0.25">
      <c r="V74" s="15"/>
    </row>
    <row r="75" spans="22:22" x14ac:dyDescent="0.25">
      <c r="V75" s="15"/>
    </row>
    <row r="76" spans="22:22" x14ac:dyDescent="0.25">
      <c r="V76" s="15"/>
    </row>
    <row r="77" spans="22:22" x14ac:dyDescent="0.25">
      <c r="V77" s="15"/>
    </row>
    <row r="78" spans="22:22" x14ac:dyDescent="0.25">
      <c r="V78" s="15"/>
    </row>
    <row r="79" spans="22:22" x14ac:dyDescent="0.25">
      <c r="V79" s="15"/>
    </row>
    <row r="80" spans="22:22" x14ac:dyDescent="0.25">
      <c r="V80" s="15"/>
    </row>
    <row r="81" spans="22:22" x14ac:dyDescent="0.25">
      <c r="V81" s="15"/>
    </row>
    <row r="82" spans="22:22" x14ac:dyDescent="0.25">
      <c r="V82" s="15"/>
    </row>
    <row r="83" spans="22:22" x14ac:dyDescent="0.25">
      <c r="V83" s="15"/>
    </row>
    <row r="84" spans="22:22" x14ac:dyDescent="0.25">
      <c r="V84" s="15"/>
    </row>
    <row r="85" spans="22:22" x14ac:dyDescent="0.25">
      <c r="V85" s="15"/>
    </row>
    <row r="86" spans="22:22" x14ac:dyDescent="0.25">
      <c r="V86" s="15"/>
    </row>
    <row r="87" spans="22:22" x14ac:dyDescent="0.25">
      <c r="V87" s="15"/>
    </row>
    <row r="88" spans="22:22" x14ac:dyDescent="0.25">
      <c r="V88" s="15"/>
    </row>
    <row r="89" spans="22:22" x14ac:dyDescent="0.25">
      <c r="V89" s="15"/>
    </row>
    <row r="90" spans="22:22" x14ac:dyDescent="0.25">
      <c r="V90" s="15"/>
    </row>
    <row r="91" spans="22:22" x14ac:dyDescent="0.25">
      <c r="V91" s="15"/>
    </row>
    <row r="92" spans="22:22" x14ac:dyDescent="0.25">
      <c r="V92" s="15"/>
    </row>
    <row r="93" spans="22:22" x14ac:dyDescent="0.25">
      <c r="V93" s="15"/>
    </row>
    <row r="94" spans="22:22" x14ac:dyDescent="0.25">
      <c r="V94" s="15"/>
    </row>
    <row r="95" spans="22:22" x14ac:dyDescent="0.25">
      <c r="V95" s="15"/>
    </row>
    <row r="96" spans="22:22" x14ac:dyDescent="0.25">
      <c r="V96" s="15"/>
    </row>
    <row r="97" spans="22:22" x14ac:dyDescent="0.25">
      <c r="V97" s="15"/>
    </row>
    <row r="98" spans="22:22" x14ac:dyDescent="0.25">
      <c r="V98" s="15"/>
    </row>
    <row r="99" spans="22:22" x14ac:dyDescent="0.25">
      <c r="V99" s="15"/>
    </row>
    <row r="100" spans="22:22" x14ac:dyDescent="0.25">
      <c r="V100" s="15"/>
    </row>
    <row r="101" spans="22:22" x14ac:dyDescent="0.25">
      <c r="V101" s="15"/>
    </row>
    <row r="102" spans="22:22" x14ac:dyDescent="0.25">
      <c r="V102" s="15"/>
    </row>
    <row r="103" spans="22:22" x14ac:dyDescent="0.25">
      <c r="V103" s="15"/>
    </row>
    <row r="104" spans="22:22" x14ac:dyDescent="0.25">
      <c r="V104" s="15"/>
    </row>
    <row r="105" spans="22:22" x14ac:dyDescent="0.25">
      <c r="V105" s="15"/>
    </row>
    <row r="106" spans="22:22" x14ac:dyDescent="0.25">
      <c r="V106" s="15"/>
    </row>
    <row r="107" spans="22:22" x14ac:dyDescent="0.25">
      <c r="V107" s="15"/>
    </row>
    <row r="108" spans="22:22" x14ac:dyDescent="0.25">
      <c r="V108" s="15"/>
    </row>
    <row r="109" spans="22:22" x14ac:dyDescent="0.25">
      <c r="V109" s="15"/>
    </row>
    <row r="110" spans="22:22" x14ac:dyDescent="0.25">
      <c r="V110" s="15"/>
    </row>
    <row r="111" spans="22:22" x14ac:dyDescent="0.25">
      <c r="V111" s="15"/>
    </row>
    <row r="112" spans="22:22" x14ac:dyDescent="0.25">
      <c r="V112" s="15"/>
    </row>
    <row r="113" spans="22:22" x14ac:dyDescent="0.25">
      <c r="V113" s="15"/>
    </row>
    <row r="114" spans="22:22" x14ac:dyDescent="0.25">
      <c r="V114" s="15"/>
    </row>
    <row r="115" spans="22:22" x14ac:dyDescent="0.25">
      <c r="V115" s="15"/>
    </row>
    <row r="116" spans="22:22" x14ac:dyDescent="0.25">
      <c r="V116" s="15"/>
    </row>
    <row r="117" spans="22:22" x14ac:dyDescent="0.25">
      <c r="V117" s="15"/>
    </row>
    <row r="118" spans="22:22" x14ac:dyDescent="0.25">
      <c r="V118" s="15"/>
    </row>
    <row r="119" spans="22:22" x14ac:dyDescent="0.25">
      <c r="V119" s="15"/>
    </row>
    <row r="120" spans="22:22" x14ac:dyDescent="0.25">
      <c r="V120" s="15"/>
    </row>
    <row r="121" spans="22:22" x14ac:dyDescent="0.25">
      <c r="V121" s="15"/>
    </row>
    <row r="122" spans="22:22" x14ac:dyDescent="0.25">
      <c r="V122" s="15"/>
    </row>
    <row r="123" spans="22:22" x14ac:dyDescent="0.25">
      <c r="V123" s="15"/>
    </row>
    <row r="124" spans="22:22" x14ac:dyDescent="0.25">
      <c r="V124" s="15"/>
    </row>
    <row r="125" spans="22:22" x14ac:dyDescent="0.25">
      <c r="V125" s="15"/>
    </row>
    <row r="126" spans="22:22" x14ac:dyDescent="0.25">
      <c r="V126" s="15"/>
    </row>
    <row r="127" spans="22:22" x14ac:dyDescent="0.25">
      <c r="V127" s="15"/>
    </row>
    <row r="128" spans="22:22" x14ac:dyDescent="0.25">
      <c r="V128" s="15"/>
    </row>
    <row r="129" spans="22:22" x14ac:dyDescent="0.25">
      <c r="V129" s="15"/>
    </row>
    <row r="130" spans="22:22" x14ac:dyDescent="0.25">
      <c r="V130" s="15"/>
    </row>
    <row r="131" spans="22:22" x14ac:dyDescent="0.25">
      <c r="V131" s="15"/>
    </row>
    <row r="132" spans="22:22" x14ac:dyDescent="0.25">
      <c r="V132" s="15"/>
    </row>
    <row r="133" spans="22:22" x14ac:dyDescent="0.25">
      <c r="V133" s="15"/>
    </row>
  </sheetData>
  <phoneticPr fontId="18"/>
  <conditionalFormatting sqref="G7:G1048576 G1:G4">
    <cfRule type="expression" dxfId="59" priority="101" stopIfTrue="1">
      <formula>AND(-3&lt;G1-TODAY(), G1-TODAY()&lt;5)</formula>
    </cfRule>
    <cfRule type="expression" dxfId="58" priority="105">
      <formula>G1-TODAY()&gt;-2</formula>
    </cfRule>
  </conditionalFormatting>
  <conditionalFormatting sqref="G5">
    <cfRule type="expression" dxfId="57" priority="73" stopIfTrue="1">
      <formula>AND(-3&lt;G5-TODAY(), G5-TODAY()&lt;5)</formula>
    </cfRule>
    <cfRule type="expression" dxfId="56" priority="74">
      <formula>G5-TODAY()&gt;-2</formula>
    </cfRule>
  </conditionalFormatting>
  <conditionalFormatting sqref="G6">
    <cfRule type="expression" dxfId="55" priority="71" stopIfTrue="1">
      <formula>AND(-3&lt;G6-TODAY(), G6-TODAY()&lt;5)</formula>
    </cfRule>
    <cfRule type="expression" dxfId="54" priority="72">
      <formula>G6-TODAY()&gt;-2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sony外貨定期預金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2024-03-11T17:42:14Z</dcterms:created>
  <dcterms:modified xsi:type="dcterms:W3CDTF">2026-02-10T04:55:30Z</dcterms:modified>
</cp:coreProperties>
</file>